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kkaur\Desktop\SPS\2026\April\Week of April 20\Timesheets\"/>
    </mc:Choice>
  </mc:AlternateContent>
  <xr:revisionPtr revIDLastSave="0" documentId="13_ncr:1_{3DB359CA-0941-41C0-867F-03E0F5689B48}" xr6:coauthVersionLast="47" xr6:coauthVersionMax="47" xr10:uidLastSave="{00000000-0000-0000-0000-000000000000}"/>
  <bookViews>
    <workbookView xWindow="-110" yWindow="-110" windowWidth="19420" windowHeight="11500" tabRatio="911" activeTab="2" xr2:uid="{00000000-000D-0000-FFFF-FFFF00000000}"/>
  </bookViews>
  <sheets>
    <sheet name="Arshdeep Mahay" sheetId="204" r:id="rId1"/>
    <sheet name="Bhupinder Man" sheetId="202" r:id="rId2"/>
    <sheet name="Sidhartha Sharma" sheetId="203" r:id="rId3"/>
    <sheet name="Hasan Khan" sheetId="196" r:id="rId4"/>
    <sheet name="Jaspreet Singh" sheetId="190" r:id="rId5"/>
    <sheet name="Arshpreet Singh" sheetId="199" r:id="rId6"/>
    <sheet name="Gurdev Singh" sheetId="200" r:id="rId7"/>
    <sheet name="Sagar Saroy" sheetId="201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9" i="204" l="1"/>
  <c r="I26" i="204" s="1"/>
  <c r="I28" i="204" s="1"/>
  <c r="H29" i="204"/>
  <c r="G29" i="204"/>
  <c r="F29" i="204"/>
  <c r="E29" i="204"/>
  <c r="E26" i="204" s="1"/>
  <c r="E28" i="204" s="1"/>
  <c r="D29" i="204"/>
  <c r="D26" i="204" s="1"/>
  <c r="D28" i="204" s="1"/>
  <c r="F28" i="204"/>
  <c r="H26" i="204"/>
  <c r="H28" i="204" s="1"/>
  <c r="G26" i="204"/>
  <c r="G28" i="204" s="1"/>
  <c r="F26" i="204"/>
  <c r="E24" i="204"/>
  <c r="F24" i="204" s="1"/>
  <c r="G24" i="204" s="1"/>
  <c r="H24" i="204" s="1"/>
  <c r="I24" i="204" s="1"/>
  <c r="F10" i="204" a="1"/>
  <c r="F10" i="204" s="1"/>
  <c r="H26" i="203"/>
  <c r="H28" i="203" s="1"/>
  <c r="I29" i="203"/>
  <c r="H29" i="203"/>
  <c r="G29" i="203"/>
  <c r="G26" i="203" s="1"/>
  <c r="G28" i="203" s="1"/>
  <c r="F29" i="203"/>
  <c r="F26" i="203" s="1"/>
  <c r="F28" i="203" s="1"/>
  <c r="E29" i="203"/>
  <c r="D29" i="203"/>
  <c r="D26" i="203" s="1"/>
  <c r="D28" i="203" s="1"/>
  <c r="I28" i="203"/>
  <c r="E28" i="203"/>
  <c r="I26" i="203"/>
  <c r="E26" i="203"/>
  <c r="E24" i="203"/>
  <c r="F24" i="203" s="1"/>
  <c r="G24" i="203" s="1"/>
  <c r="H24" i="203" s="1"/>
  <c r="I24" i="203" s="1"/>
  <c r="F10" i="203" a="1"/>
  <c r="F10" i="203" s="1"/>
  <c r="I29" i="202"/>
  <c r="H29" i="202"/>
  <c r="G29" i="202"/>
  <c r="F29" i="202"/>
  <c r="F26" i="202" s="1"/>
  <c r="F28" i="202" s="1"/>
  <c r="E29" i="202"/>
  <c r="D29" i="202"/>
  <c r="D26" i="202" s="1"/>
  <c r="D28" i="202" s="1"/>
  <c r="I28" i="202"/>
  <c r="H28" i="202"/>
  <c r="G28" i="202"/>
  <c r="E28" i="202"/>
  <c r="I26" i="202"/>
  <c r="H26" i="202"/>
  <c r="G26" i="202"/>
  <c r="E26" i="202"/>
  <c r="F24" i="202"/>
  <c r="G24" i="202" s="1"/>
  <c r="H24" i="202" s="1"/>
  <c r="I24" i="202" s="1"/>
  <c r="E24" i="202"/>
  <c r="F10" i="202" a="1"/>
  <c r="F10" i="202" s="1"/>
  <c r="G26" i="201"/>
  <c r="H26" i="201"/>
  <c r="E26" i="199"/>
  <c r="D26" i="199"/>
  <c r="D26" i="196"/>
  <c r="I29" i="201"/>
  <c r="H29" i="201"/>
  <c r="G29" i="201"/>
  <c r="F29" i="201"/>
  <c r="E29" i="201"/>
  <c r="E26" i="201" s="1"/>
  <c r="D29" i="201"/>
  <c r="I26" i="201"/>
  <c r="I28" i="201" s="1"/>
  <c r="E24" i="201"/>
  <c r="F24" i="201" s="1"/>
  <c r="G24" i="201" s="1"/>
  <c r="H24" i="201" s="1"/>
  <c r="I24" i="201" s="1"/>
  <c r="F10" i="201" a="1"/>
  <c r="F10" i="201" s="1"/>
  <c r="I29" i="200"/>
  <c r="H29" i="200"/>
  <c r="G29" i="200"/>
  <c r="G26" i="200" s="1"/>
  <c r="G28" i="200" s="1"/>
  <c r="F29" i="200"/>
  <c r="F26" i="200" s="1"/>
  <c r="F28" i="200" s="1"/>
  <c r="E29" i="200"/>
  <c r="D29" i="200"/>
  <c r="D26" i="200" s="1"/>
  <c r="I26" i="200"/>
  <c r="I28" i="200" s="1"/>
  <c r="E24" i="200"/>
  <c r="F24" i="200" s="1"/>
  <c r="G24" i="200" s="1"/>
  <c r="H24" i="200" s="1"/>
  <c r="I24" i="200" s="1"/>
  <c r="F10" i="200" a="1"/>
  <c r="F10" i="200" s="1"/>
  <c r="I29" i="199"/>
  <c r="H29" i="199"/>
  <c r="H26" i="199" s="1"/>
  <c r="H28" i="199" s="1"/>
  <c r="G29" i="199"/>
  <c r="G26" i="199" s="1"/>
  <c r="G28" i="199" s="1"/>
  <c r="F29" i="199"/>
  <c r="F26" i="199" s="1"/>
  <c r="F28" i="199" s="1"/>
  <c r="E29" i="199"/>
  <c r="D29" i="199"/>
  <c r="I26" i="199"/>
  <c r="I28" i="199" s="1"/>
  <c r="E24" i="199"/>
  <c r="F24" i="199" s="1"/>
  <c r="G24" i="199" s="1"/>
  <c r="H24" i="199" s="1"/>
  <c r="I24" i="199" s="1"/>
  <c r="F10" i="199" a="1"/>
  <c r="F10" i="199" s="1"/>
  <c r="I29" i="196"/>
  <c r="I26" i="196" s="1"/>
  <c r="I28" i="196" s="1"/>
  <c r="H29" i="196"/>
  <c r="H26" i="196" s="1"/>
  <c r="G29" i="196"/>
  <c r="G26" i="196" s="1"/>
  <c r="F29" i="196"/>
  <c r="F26" i="196" s="1"/>
  <c r="F28" i="196" s="1"/>
  <c r="E29" i="196"/>
  <c r="E26" i="196" s="1"/>
  <c r="D29" i="196"/>
  <c r="E24" i="196"/>
  <c r="F24" i="196" s="1"/>
  <c r="G24" i="196" s="1"/>
  <c r="H24" i="196" s="1"/>
  <c r="I24" i="196" s="1"/>
  <c r="F10" i="196" a="1"/>
  <c r="F10" i="196" s="1"/>
  <c r="E26" i="190"/>
  <c r="I29" i="190"/>
  <c r="I26" i="190" s="1"/>
  <c r="H29" i="190"/>
  <c r="H26" i="190" s="1"/>
  <c r="G29" i="190"/>
  <c r="G26" i="190" s="1"/>
  <c r="F29" i="190"/>
  <c r="F26" i="190" s="1"/>
  <c r="E29" i="190"/>
  <c r="D29" i="190"/>
  <c r="D26" i="190" s="1"/>
  <c r="E24" i="190"/>
  <c r="F24" i="190" s="1"/>
  <c r="G24" i="190" s="1"/>
  <c r="H24" i="190" s="1"/>
  <c r="I24" i="190" s="1"/>
  <c r="F10" i="190" a="1"/>
  <c r="F10" i="190" s="1"/>
  <c r="D30" i="204" l="1"/>
  <c r="D30" i="202"/>
  <c r="D30" i="203"/>
  <c r="F28" i="201"/>
  <c r="G28" i="201"/>
  <c r="D26" i="201"/>
  <c r="D28" i="201" s="1"/>
  <c r="F26" i="201"/>
  <c r="E26" i="200"/>
  <c r="E28" i="200" s="1"/>
  <c r="D28" i="200"/>
  <c r="D30" i="200" s="1"/>
  <c r="H26" i="200"/>
  <c r="H28" i="200" s="1"/>
  <c r="D28" i="199"/>
  <c r="D30" i="199" s="1"/>
  <c r="E28" i="199"/>
  <c r="E28" i="201"/>
  <c r="H28" i="201"/>
  <c r="H28" i="196"/>
  <c r="G28" i="196"/>
  <c r="D28" i="196"/>
  <c r="D28" i="190"/>
  <c r="E28" i="196"/>
  <c r="E28" i="190"/>
  <c r="G28" i="190"/>
  <c r="H28" i="190"/>
  <c r="F28" i="190"/>
  <c r="I28" i="190"/>
  <c r="D30" i="201" l="1"/>
  <c r="D30" i="196"/>
  <c r="D30" i="190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<sst xmlns="http://schemas.openxmlformats.org/spreadsheetml/2006/main" count="240" uniqueCount="29">
  <si>
    <t xml:space="preserve">Generic Temporary Associate Timesheet </t>
  </si>
  <si>
    <t xml:space="preserve">Timesheets must be completed accurately and submitted no later than Sunday at 11:00pm </t>
  </si>
  <si>
    <t xml:space="preserve">(Any exceptions will not be processed until the following week) </t>
  </si>
  <si>
    <t>Temporary Agency:</t>
  </si>
  <si>
    <t>STRATOSPHERE QUALITY</t>
  </si>
  <si>
    <t>(Please print the name of the Temp agency you work for)</t>
  </si>
  <si>
    <t>Temporary Associate Name:</t>
  </si>
  <si>
    <t xml:space="preserve">(Please print your name (First, Last)  </t>
  </si>
  <si>
    <t>S.P.S Plant and Shift you are assigned to:</t>
  </si>
  <si>
    <t>S.P.S Department Number: (MANDATORY)</t>
  </si>
  <si>
    <t>S.P.S Supervisor/Section Leader  Name:</t>
  </si>
  <si>
    <t>Monday</t>
  </si>
  <si>
    <t>Tuesday</t>
  </si>
  <si>
    <r>
      <rPr>
        <b/>
        <u/>
        <sz val="32"/>
        <color theme="1"/>
        <rFont val="Arial"/>
        <family val="2"/>
      </rPr>
      <t>Wednesday</t>
    </r>
    <r>
      <rPr>
        <b/>
        <sz val="32"/>
        <color theme="1"/>
        <rFont val="Arial"/>
        <family val="2"/>
      </rPr>
      <t xml:space="preserve">  </t>
    </r>
  </si>
  <si>
    <r>
      <rPr>
        <b/>
        <u/>
        <sz val="32"/>
        <color theme="1"/>
        <rFont val="Arial"/>
        <family val="2"/>
      </rPr>
      <t>Thursday</t>
    </r>
    <r>
      <rPr>
        <b/>
        <sz val="32"/>
        <color theme="1"/>
        <rFont val="Arial"/>
        <family val="2"/>
      </rPr>
      <t xml:space="preserve"> </t>
    </r>
  </si>
  <si>
    <r>
      <rPr>
        <b/>
        <u/>
        <sz val="32"/>
        <color theme="1"/>
        <rFont val="Arial"/>
        <family val="2"/>
      </rPr>
      <t>Friday</t>
    </r>
    <r>
      <rPr>
        <b/>
        <sz val="32"/>
        <color theme="1"/>
        <rFont val="Arial"/>
        <family val="2"/>
      </rPr>
      <t xml:space="preserve">  </t>
    </r>
  </si>
  <si>
    <r>
      <rPr>
        <b/>
        <u/>
        <sz val="32"/>
        <color theme="1"/>
        <rFont val="Arial"/>
        <family val="2"/>
      </rPr>
      <t>Saturday</t>
    </r>
    <r>
      <rPr>
        <b/>
        <sz val="32"/>
        <color theme="1"/>
        <rFont val="Arial"/>
        <family val="2"/>
      </rPr>
      <t xml:space="preserve"> </t>
    </r>
  </si>
  <si>
    <t>Shift Start:</t>
  </si>
  <si>
    <t>Lunch Break (-30 mins):</t>
  </si>
  <si>
    <t>Shift End:</t>
  </si>
  <si>
    <t>Total Daily Hours:</t>
  </si>
  <si>
    <t>Total Hours Worked for Week:</t>
  </si>
  <si>
    <t>Temporary Associate Signature:</t>
  </si>
  <si>
    <t>S.P.S Supervisor/Section Leader Signature:</t>
  </si>
  <si>
    <t xml:space="preserve"> </t>
  </si>
  <si>
    <t>John Mizuno</t>
  </si>
  <si>
    <t xml:space="preserve">                                                                                                                                 (eg. Training Center 2550) </t>
  </si>
  <si>
    <t xml:space="preserve">                                                                                                                           (eg. Plant 1 A shift)</t>
  </si>
  <si>
    <t xml:space="preserve">        Packaging management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</si>
</sst>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hh:mm:ss;@"/>
    <numFmt numFmtId="165" formatCode="[h]:mm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28"/>
      <color theme="1"/>
      <name val="Arial"/>
      <family val="2"/>
    </font>
    <font>
      <b/>
      <u val="double"/>
      <sz val="72"/>
      <color theme="1"/>
      <name val="Arial"/>
      <family val="2"/>
    </font>
    <font>
      <b/>
      <u/>
      <sz val="32"/>
      <color theme="1"/>
      <name val="Arial"/>
      <family val="2"/>
    </font>
    <font>
      <b/>
      <sz val="32"/>
      <color theme="1"/>
      <name val="Arial"/>
      <family val="2"/>
    </font>
    <font>
      <sz val="32"/>
      <color theme="1"/>
      <name val="Arial"/>
      <family val="2"/>
    </font>
    <font>
      <b/>
      <sz val="48"/>
      <color theme="1"/>
      <name val="Arial"/>
      <family val="2"/>
    </font>
    <font>
      <sz val="32"/>
      <color theme="0"/>
      <name val="Arial"/>
      <family val="2"/>
    </font>
    <font>
      <u/>
      <sz val="32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0" xfId="0" applyFont="1" applyAlignment="1">
      <alignment horizontal="center"/>
    </xf>
    <xf numFmtId="0" fontId="6" fillId="0" borderId="0" xfId="0" applyFont="1"/>
    <xf numFmtId="0" fontId="5" fillId="0" borderId="0" xfId="0" applyFont="1"/>
    <xf numFmtId="0" fontId="6" fillId="0" borderId="4" xfId="0" applyFont="1" applyBorder="1"/>
    <xf numFmtId="0" fontId="6" fillId="0" borderId="2" xfId="0" applyFont="1" applyBorder="1"/>
    <xf numFmtId="0" fontId="6" fillId="0" borderId="3" xfId="0" applyFont="1" applyBorder="1"/>
    <xf numFmtId="0" fontId="6" fillId="0" borderId="1" xfId="0" applyFont="1" applyBorder="1"/>
    <xf numFmtId="0" fontId="6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6" fillId="0" borderId="8" xfId="0" applyFont="1" applyBorder="1"/>
    <xf numFmtId="0" fontId="6" fillId="0" borderId="9" xfId="0" applyFont="1" applyBorder="1"/>
    <xf numFmtId="0" fontId="5" fillId="0" borderId="10" xfId="0" applyFont="1" applyBorder="1"/>
    <xf numFmtId="0" fontId="6" fillId="0" borderId="11" xfId="0" applyFont="1" applyBorder="1"/>
    <xf numFmtId="0" fontId="6" fillId="0" borderId="10" xfId="0" applyFont="1" applyBorder="1"/>
    <xf numFmtId="0" fontId="5" fillId="0" borderId="12" xfId="0" applyFont="1" applyBorder="1"/>
    <xf numFmtId="0" fontId="5" fillId="0" borderId="6" xfId="0" applyFont="1" applyBorder="1"/>
    <xf numFmtId="0" fontId="6" fillId="0" borderId="13" xfId="0" applyFont="1" applyBorder="1"/>
    <xf numFmtId="0" fontId="7" fillId="0" borderId="6" xfId="0" applyFont="1" applyBorder="1"/>
    <xf numFmtId="164" fontId="6" fillId="2" borderId="4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0" borderId="0" xfId="0" applyNumberFormat="1" applyFont="1"/>
    <xf numFmtId="165" fontId="6" fillId="0" borderId="5" xfId="0" applyNumberFormat="1" applyFont="1" applyBorder="1"/>
    <xf numFmtId="0" fontId="4" fillId="2" borderId="14" xfId="0" applyFont="1" applyFill="1" applyBorder="1" applyAlignment="1">
      <alignment horizontal="center" vertical="top" wrapText="1"/>
    </xf>
    <xf numFmtId="0" fontId="5" fillId="0" borderId="14" xfId="0" applyFont="1" applyBorder="1" applyAlignment="1">
      <alignment horizontal="center" vertical="top" wrapText="1"/>
    </xf>
    <xf numFmtId="0" fontId="5" fillId="0" borderId="15" xfId="0" applyFont="1" applyBorder="1" applyAlignment="1">
      <alignment horizontal="center" vertical="top" wrapText="1"/>
    </xf>
    <xf numFmtId="16" fontId="5" fillId="2" borderId="15" xfId="0" applyNumberFormat="1" applyFont="1" applyFill="1" applyBorder="1" applyAlignment="1">
      <alignment horizontal="center" vertical="top" wrapText="1"/>
    </xf>
    <xf numFmtId="0" fontId="4" fillId="0" borderId="6" xfId="0" applyFont="1" applyBorder="1"/>
    <xf numFmtId="0" fontId="9" fillId="0" borderId="6" xfId="0" applyFont="1" applyBorder="1"/>
    <xf numFmtId="164" fontId="8" fillId="2" borderId="0" xfId="0" applyNumberFormat="1" applyFont="1" applyFill="1"/>
    <xf numFmtId="0" fontId="4" fillId="0" borderId="0" xfId="0" applyFont="1" applyAlignment="1">
      <alignment horizontal="center" wrapText="1"/>
    </xf>
    <xf numFmtId="0" fontId="7" fillId="0" borderId="6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4" fillId="2" borderId="16" xfId="0" applyFont="1" applyFill="1" applyBorder="1" applyAlignment="1">
      <alignment horizontal="center" vertical="top" wrapText="1"/>
    </xf>
    <xf numFmtId="16" fontId="5" fillId="2" borderId="17" xfId="0" applyNumberFormat="1" applyFont="1" applyFill="1" applyBorder="1" applyAlignment="1">
      <alignment horizontal="center" vertical="top" wrapText="1"/>
    </xf>
    <xf numFmtId="0" fontId="5" fillId="0" borderId="8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80ECD-35C1-4820-A355-BEBE29A64F2B}">
  <sheetPr>
    <pageSetUpPr fitToPage="1"/>
  </sheetPr>
  <dimension ref="A1:Q40"/>
  <sheetViews>
    <sheetView tabSelected="1" topLeftCell="A16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Arshdeep Mahay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/>
      <c r="E25" s="22"/>
      <c r="F25" s="22">
        <v>0.27083333333333331</v>
      </c>
      <c r="G25" s="22">
        <v>0.27083333333333331</v>
      </c>
      <c r="H25" s="22">
        <v>0.27083333333333331</v>
      </c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:E26" si="0">IF((D29&gt;TIME(4,0,0)),TIME(0,30,0),0)</f>
        <v>0</v>
      </c>
      <c r="E26" s="24">
        <f t="shared" si="0"/>
        <v>0</v>
      </c>
      <c r="F26" s="24">
        <f t="shared" ref="F26:I26" si="1">IF((F29&gt;TIME(4,0,0)),TIME(0,30,0),0)</f>
        <v>2.0833333333333332E-2</v>
      </c>
      <c r="G26" s="24">
        <f t="shared" si="1"/>
        <v>2.0833333333333332E-2</v>
      </c>
      <c r="H26" s="24">
        <f t="shared" si="1"/>
        <v>2.0833333333333332E-2</v>
      </c>
      <c r="I26" s="24">
        <f t="shared" si="1"/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/>
      <c r="E27" s="22"/>
      <c r="F27" s="22">
        <v>0.625</v>
      </c>
      <c r="G27" s="22">
        <v>0.625</v>
      </c>
      <c r="H27" s="22">
        <v>0.625</v>
      </c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:I28" si="2">(D27-D25+ (D27&lt;D25))-D26</f>
        <v>0</v>
      </c>
      <c r="E28" s="23">
        <f t="shared" si="2"/>
        <v>0</v>
      </c>
      <c r="F28" s="23">
        <f t="shared" si="2"/>
        <v>0.33333333333333337</v>
      </c>
      <c r="G28" s="23">
        <f t="shared" si="2"/>
        <v>0.33333333333333337</v>
      </c>
      <c r="H28" s="23">
        <f t="shared" si="2"/>
        <v>0.33333333333333337</v>
      </c>
      <c r="I28" s="23">
        <f t="shared" si="2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</v>
      </c>
      <c r="E29" s="33">
        <f>(E27-E25+ (E27&lt;E25))</f>
        <v>0</v>
      </c>
      <c r="F29" s="33">
        <f t="shared" ref="F29:I29" si="3">(F27-F25+ (F27&lt;F25))</f>
        <v>0.35416666666666669</v>
      </c>
      <c r="G29" s="33">
        <f>(G27-G25+ (G27&lt;G25))</f>
        <v>0.35416666666666669</v>
      </c>
      <c r="H29" s="33">
        <f t="shared" si="3"/>
        <v>0.35416666666666669</v>
      </c>
      <c r="I29" s="33">
        <f t="shared" si="3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1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949821-ED55-4ABB-B8D7-FE8984A450A8}">
  <sheetPr>
    <pageSetUpPr fitToPage="1"/>
  </sheetPr>
  <dimension ref="A1:Q40"/>
  <sheetViews>
    <sheetView tabSelected="1" topLeftCell="A16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Bhupinder Man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>
        <v>0.28125</v>
      </c>
      <c r="E25" s="22">
        <v>0.27083333333333331</v>
      </c>
      <c r="F25" s="22">
        <v>0.29166666666666669</v>
      </c>
      <c r="G25" s="22">
        <v>0.27083333333333331</v>
      </c>
      <c r="H25" s="22">
        <v>0.27083333333333331</v>
      </c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:I26" si="0">IF((D29&gt;TIME(4,0,0)),TIME(0,30,0),0)</f>
        <v>2.0833333333333332E-2</v>
      </c>
      <c r="E26" s="24">
        <f t="shared" si="0"/>
        <v>2.0833333333333332E-2</v>
      </c>
      <c r="F26" s="24">
        <f t="shared" si="0"/>
        <v>2.0833333333333332E-2</v>
      </c>
      <c r="G26" s="24">
        <f t="shared" si="0"/>
        <v>2.0833333333333332E-2</v>
      </c>
      <c r="H26" s="24">
        <f t="shared" si="0"/>
        <v>2.0833333333333332E-2</v>
      </c>
      <c r="I26" s="24">
        <f t="shared" si="0"/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>
        <v>0.625</v>
      </c>
      <c r="E27" s="22">
        <v>0.625</v>
      </c>
      <c r="F27" s="22">
        <v>0.625</v>
      </c>
      <c r="G27" s="22">
        <v>0.625</v>
      </c>
      <c r="H27" s="22">
        <v>0.625</v>
      </c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:I28" si="1">(D27-D25+ (D27&lt;D25))-D26</f>
        <v>0.32291666666666669</v>
      </c>
      <c r="E28" s="23">
        <f t="shared" si="1"/>
        <v>0.33333333333333337</v>
      </c>
      <c r="F28" s="23">
        <f t="shared" si="1"/>
        <v>0.3125</v>
      </c>
      <c r="G28" s="23">
        <f t="shared" si="1"/>
        <v>0.33333333333333337</v>
      </c>
      <c r="H28" s="23">
        <f t="shared" si="1"/>
        <v>0.33333333333333337</v>
      </c>
      <c r="I28" s="23">
        <f t="shared" si="1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0.34375</v>
      </c>
      <c r="E29" s="33">
        <f>(E27-E25+ (E27&lt;E25))</f>
        <v>0.35416666666666669</v>
      </c>
      <c r="F29" s="33">
        <f t="shared" ref="F29:I29" si="2">(F27-F25+ (F27&lt;F25))</f>
        <v>0.33333333333333331</v>
      </c>
      <c r="G29" s="33">
        <f>(G27-G25+ (G27&lt;G25))</f>
        <v>0.35416666666666669</v>
      </c>
      <c r="H29" s="33">
        <f t="shared" si="2"/>
        <v>0.35416666666666669</v>
      </c>
      <c r="I29" s="33">
        <f t="shared" si="2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1.635416666666667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685CF-18BD-489F-A13A-2D3BCA9771CD}">
  <sheetPr>
    <pageSetUpPr fitToPage="1"/>
  </sheetPr>
  <dimension ref="A1:Q40"/>
  <sheetViews>
    <sheetView tabSelected="1" topLeftCell="A16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Sidhartha Sharma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>
        <v>0.30555555555555558</v>
      </c>
      <c r="E25" s="22">
        <v>0.27083333333333331</v>
      </c>
      <c r="F25" s="22"/>
      <c r="G25" s="22"/>
      <c r="H25" s="22"/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:I26" si="0">IF((D29&gt;TIME(4,0,0)),TIME(0,30,0),0)</f>
        <v>2.0833333333333332E-2</v>
      </c>
      <c r="E26" s="24">
        <f t="shared" si="0"/>
        <v>2.0833333333333332E-2</v>
      </c>
      <c r="F26" s="24">
        <f t="shared" ref="F26:H26" si="1">IF((F29&gt;TIME(4,0,0)),TIME(0,30,0),0)</f>
        <v>0</v>
      </c>
      <c r="G26" s="24">
        <f t="shared" si="1"/>
        <v>0</v>
      </c>
      <c r="H26" s="24">
        <f t="shared" si="1"/>
        <v>0</v>
      </c>
      <c r="I26" s="24">
        <f t="shared" si="0"/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>
        <v>0.625</v>
      </c>
      <c r="E27" s="22">
        <v>0.625</v>
      </c>
      <c r="F27" s="22"/>
      <c r="G27" s="22"/>
      <c r="H27" s="22"/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:I28" si="2">(D27-D25+ (D27&lt;D25))-D26</f>
        <v>0.2986111111111111</v>
      </c>
      <c r="E28" s="23">
        <f t="shared" si="2"/>
        <v>0.33333333333333337</v>
      </c>
      <c r="F28" s="23">
        <f t="shared" si="2"/>
        <v>0</v>
      </c>
      <c r="G28" s="23">
        <f t="shared" si="2"/>
        <v>0</v>
      </c>
      <c r="H28" s="23">
        <f t="shared" si="2"/>
        <v>0</v>
      </c>
      <c r="I28" s="23">
        <f t="shared" si="2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0.31944444444444442</v>
      </c>
      <c r="E29" s="33">
        <f>(E27-E25+ (E27&lt;E25))</f>
        <v>0.35416666666666669</v>
      </c>
      <c r="F29" s="33">
        <f t="shared" ref="F29:I29" si="3">(F27-F25+ (F27&lt;F25))</f>
        <v>0</v>
      </c>
      <c r="G29" s="33">
        <f>(G27-G25+ (G27&lt;G25))</f>
        <v>0</v>
      </c>
      <c r="H29" s="33">
        <f t="shared" si="3"/>
        <v>0</v>
      </c>
      <c r="I29" s="33">
        <f t="shared" si="3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0.63194444444444442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183AB-4272-439C-8F2F-19B4504952C9}">
  <sheetPr>
    <pageSetUpPr fitToPage="1"/>
  </sheetPr>
  <dimension ref="A1:Q40"/>
  <sheetViews>
    <sheetView tabSelected="1" topLeftCell="A16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Hasan Khan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>
        <v>0.27083333333333331</v>
      </c>
      <c r="E25" s="22">
        <v>0.27083333333333331</v>
      </c>
      <c r="F25" s="22">
        <v>0.27083333333333331</v>
      </c>
      <c r="G25" s="22">
        <v>0.27083333333333331</v>
      </c>
      <c r="H25" s="22">
        <v>0.27083333333333331</v>
      </c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:H26" si="0">IF((D29&gt;TIME(4,0,0)),TIME(0,30,0),0)</f>
        <v>2.0833333333333332E-2</v>
      </c>
      <c r="E26" s="24">
        <f t="shared" si="0"/>
        <v>2.0833333333333332E-2</v>
      </c>
      <c r="F26" s="24">
        <f t="shared" si="0"/>
        <v>2.0833333333333332E-2</v>
      </c>
      <c r="G26" s="24">
        <f t="shared" si="0"/>
        <v>2.0833333333333332E-2</v>
      </c>
      <c r="H26" s="24">
        <f t="shared" si="0"/>
        <v>2.0833333333333332E-2</v>
      </c>
      <c r="I26" s="24">
        <f t="shared" ref="I26" si="1">IF((I29&gt;TIME(4,0,0)),TIME(0,30,0),0)</f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>
        <v>0.625</v>
      </c>
      <c r="E27" s="22">
        <v>0.625</v>
      </c>
      <c r="F27" s="22">
        <v>0.625</v>
      </c>
      <c r="G27" s="22">
        <v>0.625</v>
      </c>
      <c r="H27" s="22">
        <v>0.625</v>
      </c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:I28" si="2">(D27-D25+ (D27&lt;D25))-D26</f>
        <v>0.33333333333333337</v>
      </c>
      <c r="E28" s="23">
        <f t="shared" si="2"/>
        <v>0.33333333333333337</v>
      </c>
      <c r="F28" s="23">
        <f t="shared" si="2"/>
        <v>0.33333333333333337</v>
      </c>
      <c r="G28" s="23">
        <f t="shared" si="2"/>
        <v>0.33333333333333337</v>
      </c>
      <c r="H28" s="23">
        <f t="shared" si="2"/>
        <v>0.33333333333333337</v>
      </c>
      <c r="I28" s="23">
        <f t="shared" si="2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0.35416666666666669</v>
      </c>
      <c r="E29" s="33">
        <f>(E27-E25+ (E27&lt;E25))</f>
        <v>0.35416666666666669</v>
      </c>
      <c r="F29" s="33">
        <f t="shared" ref="F29:I29" si="3">(F27-F25+ (F27&lt;F25))</f>
        <v>0.35416666666666669</v>
      </c>
      <c r="G29" s="33">
        <f>(G27-G25+ (G27&lt;G25))</f>
        <v>0.35416666666666669</v>
      </c>
      <c r="H29" s="33">
        <f t="shared" si="3"/>
        <v>0.35416666666666669</v>
      </c>
      <c r="I29" s="33">
        <f t="shared" si="3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1.666666666666667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3E3EC-736E-45F2-B0EA-72EB3F296709}">
  <sheetPr>
    <pageSetUpPr fitToPage="1"/>
  </sheetPr>
  <dimension ref="A1:Q40"/>
  <sheetViews>
    <sheetView tabSelected="1" topLeftCell="A16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Jaspreet Singh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>
        <v>0.27083333333333331</v>
      </c>
      <c r="E25" s="22">
        <v>0.27083333333333331</v>
      </c>
      <c r="F25" s="22">
        <v>0.27083333333333331</v>
      </c>
      <c r="G25" s="22">
        <v>0.27083333333333331</v>
      </c>
      <c r="H25" s="22">
        <v>0.27083333333333331</v>
      </c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" si="0">IF((D29&gt;TIME(4,0,0)),TIME(0,30,0),0)</f>
        <v>2.0833333333333332E-2</v>
      </c>
      <c r="E26" s="24">
        <f t="shared" ref="E26" si="1">IF((E29&gt;TIME(4,0,0)),TIME(0,30,0),0)</f>
        <v>2.0833333333333332E-2</v>
      </c>
      <c r="F26" s="24">
        <f t="shared" ref="F26" si="2">IF((F29&gt;TIME(4,0,0)),TIME(0,30,0),0)</f>
        <v>2.0833333333333332E-2</v>
      </c>
      <c r="G26" s="24">
        <f t="shared" ref="G26" si="3">IF((G29&gt;TIME(4,0,0)),TIME(0,30,0),0)</f>
        <v>2.0833333333333332E-2</v>
      </c>
      <c r="H26" s="24">
        <f t="shared" ref="H26" si="4">IF((H29&gt;TIME(4,0,0)),TIME(0,30,0),0)</f>
        <v>2.0833333333333332E-2</v>
      </c>
      <c r="I26" s="24">
        <f t="shared" ref="I26" si="5">IF((I29&gt;TIME(4,0,0)),TIME(0,30,0),0)</f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>
        <v>0.625</v>
      </c>
      <c r="E27" s="22">
        <v>0.625</v>
      </c>
      <c r="F27" s="22">
        <v>0.625</v>
      </c>
      <c r="G27" s="22">
        <v>0.625</v>
      </c>
      <c r="H27" s="22">
        <v>0.625</v>
      </c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" si="6">(D27-D25+ (D27&lt;D25))-D26</f>
        <v>0.33333333333333337</v>
      </c>
      <c r="E28" s="23">
        <f t="shared" ref="E28:I28" si="7">(E27-E25+ (E27&lt;E25))-E26</f>
        <v>0.33333333333333337</v>
      </c>
      <c r="F28" s="23">
        <f t="shared" si="7"/>
        <v>0.33333333333333337</v>
      </c>
      <c r="G28" s="23">
        <f t="shared" si="7"/>
        <v>0.33333333333333337</v>
      </c>
      <c r="H28" s="23">
        <f t="shared" si="7"/>
        <v>0.33333333333333337</v>
      </c>
      <c r="I28" s="23">
        <f t="shared" si="7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0.35416666666666669</v>
      </c>
      <c r="E29" s="33">
        <f>(E27-E25+ (E27&lt;E25))</f>
        <v>0.35416666666666669</v>
      </c>
      <c r="F29" s="33">
        <f t="shared" ref="F29:I29" si="8">(F27-F25+ (F27&lt;F25))</f>
        <v>0.35416666666666669</v>
      </c>
      <c r="G29" s="33">
        <f>(G27-G25+ (G27&lt;G25))</f>
        <v>0.35416666666666669</v>
      </c>
      <c r="H29" s="33">
        <f t="shared" si="8"/>
        <v>0.35416666666666669</v>
      </c>
      <c r="I29" s="33">
        <f t="shared" si="8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1.666666666666667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46C9C-4A6C-4D85-BF0D-22EBB70EB2F2}">
  <sheetPr>
    <pageSetUpPr fitToPage="1"/>
  </sheetPr>
  <dimension ref="A1:Q40"/>
  <sheetViews>
    <sheetView tabSelected="1" topLeftCell="A18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Arshpreet Singh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>
        <v>0.27083333333333331</v>
      </c>
      <c r="E25" s="22">
        <v>0.27083333333333331</v>
      </c>
      <c r="F25" s="22">
        <v>0.27083333333333331</v>
      </c>
      <c r="G25" s="22">
        <v>0.27083333333333331</v>
      </c>
      <c r="H25" s="22"/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:G26" si="0">IF((D29&gt;TIME(4,0,0)),TIME(0,30,0),0)</f>
        <v>2.0833333333333332E-2</v>
      </c>
      <c r="E26" s="24">
        <f t="shared" si="0"/>
        <v>2.0833333333333332E-2</v>
      </c>
      <c r="F26" s="24">
        <f t="shared" si="0"/>
        <v>2.0833333333333332E-2</v>
      </c>
      <c r="G26" s="24">
        <f t="shared" si="0"/>
        <v>2.0833333333333332E-2</v>
      </c>
      <c r="H26" s="24">
        <f t="shared" ref="H26:I26" si="1">IF((H29&gt;TIME(4,0,0)),TIME(0,30,0),0)</f>
        <v>0</v>
      </c>
      <c r="I26" s="24">
        <f t="shared" si="1"/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>
        <v>0.625</v>
      </c>
      <c r="E27" s="22">
        <v>0.625</v>
      </c>
      <c r="F27" s="22">
        <v>0.625</v>
      </c>
      <c r="G27" s="22">
        <v>0.625</v>
      </c>
      <c r="H27" s="22"/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:I28" si="2">(D27-D25+ (D27&lt;D25))-D26</f>
        <v>0.33333333333333337</v>
      </c>
      <c r="E28" s="23">
        <f t="shared" si="2"/>
        <v>0.33333333333333337</v>
      </c>
      <c r="F28" s="23">
        <f t="shared" si="2"/>
        <v>0.33333333333333337</v>
      </c>
      <c r="G28" s="23">
        <f t="shared" si="2"/>
        <v>0.33333333333333337</v>
      </c>
      <c r="H28" s="23">
        <f t="shared" si="2"/>
        <v>0</v>
      </c>
      <c r="I28" s="23">
        <f t="shared" si="2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0.35416666666666669</v>
      </c>
      <c r="E29" s="33">
        <f>(E27-E25+ (E27&lt;E25))</f>
        <v>0.35416666666666669</v>
      </c>
      <c r="F29" s="33">
        <f t="shared" ref="F29:I29" si="3">(F27-F25+ (F27&lt;F25))</f>
        <v>0.35416666666666669</v>
      </c>
      <c r="G29" s="33">
        <f>(G27-G25+ (G27&lt;G25))</f>
        <v>0.35416666666666669</v>
      </c>
      <c r="H29" s="33">
        <f t="shared" si="3"/>
        <v>0</v>
      </c>
      <c r="I29" s="33">
        <f t="shared" si="3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1.3333333333333335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2E5A0-B842-4287-8E81-912A9862B8EF}">
  <sheetPr>
    <pageSetUpPr fitToPage="1"/>
  </sheetPr>
  <dimension ref="A1:Q40"/>
  <sheetViews>
    <sheetView tabSelected="1" topLeftCell="A16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Gurdev Singh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>
        <v>0.30555555555555558</v>
      </c>
      <c r="E25" s="22">
        <v>0.27083333333333331</v>
      </c>
      <c r="F25" s="22">
        <v>0.27083333333333331</v>
      </c>
      <c r="G25" s="22">
        <v>0.27083333333333331</v>
      </c>
      <c r="H25" s="22">
        <v>0.27083333333333331</v>
      </c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:H26" si="0">IF((D29&gt;TIME(4,0,0)),TIME(0,30,0),0)</f>
        <v>2.0833333333333332E-2</v>
      </c>
      <c r="E26" s="24">
        <f t="shared" si="0"/>
        <v>2.0833333333333332E-2</v>
      </c>
      <c r="F26" s="24">
        <f t="shared" si="0"/>
        <v>2.0833333333333332E-2</v>
      </c>
      <c r="G26" s="24">
        <f t="shared" si="0"/>
        <v>2.0833333333333332E-2</v>
      </c>
      <c r="H26" s="24">
        <f t="shared" si="0"/>
        <v>2.0833333333333332E-2</v>
      </c>
      <c r="I26" s="24">
        <f t="shared" ref="I26" si="1">IF((I29&gt;TIME(4,0,0)),TIME(0,30,0),0)</f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>
        <v>0.625</v>
      </c>
      <c r="E27" s="22">
        <v>0.625</v>
      </c>
      <c r="F27" s="22">
        <v>0.625</v>
      </c>
      <c r="G27" s="22">
        <v>0.625</v>
      </c>
      <c r="H27" s="22">
        <v>0.625</v>
      </c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:I28" si="2">(D27-D25+ (D27&lt;D25))-D26</f>
        <v>0.2986111111111111</v>
      </c>
      <c r="E28" s="23">
        <f t="shared" si="2"/>
        <v>0.33333333333333337</v>
      </c>
      <c r="F28" s="23">
        <f t="shared" si="2"/>
        <v>0.33333333333333337</v>
      </c>
      <c r="G28" s="23">
        <f t="shared" si="2"/>
        <v>0.33333333333333337</v>
      </c>
      <c r="H28" s="23">
        <f t="shared" si="2"/>
        <v>0.33333333333333337</v>
      </c>
      <c r="I28" s="23">
        <f t="shared" si="2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0.31944444444444442</v>
      </c>
      <c r="E29" s="33">
        <f>(E27-E25+ (E27&lt;E25))</f>
        <v>0.35416666666666669</v>
      </c>
      <c r="F29" s="33">
        <f t="shared" ref="F29:I29" si="3">(F27-F25+ (F27&lt;F25))</f>
        <v>0.35416666666666669</v>
      </c>
      <c r="G29" s="33">
        <f>(G27-G25+ (G27&lt;G25))</f>
        <v>0.35416666666666669</v>
      </c>
      <c r="H29" s="33">
        <f t="shared" si="3"/>
        <v>0.35416666666666669</v>
      </c>
      <c r="I29" s="33">
        <f t="shared" si="3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1.6319444444444446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2442-FE2C-4C44-A466-FD2130F69973}">
  <sheetPr>
    <pageSetUpPr fitToPage="1"/>
  </sheetPr>
  <dimension ref="A1:Q40"/>
  <sheetViews>
    <sheetView tabSelected="1" topLeftCell="A16" zoomScale="30" zoomScaleNormal="30" workbookViewId="0">
      <selection activeCell="D25" sqref="D25"/>
    </sheetView>
  </sheetViews>
  <sheetFormatPr defaultColWidth="8.81640625" defaultRowHeight="14" x14ac:dyDescent="0.3"/>
  <cols>
    <col min="1" max="1" width="10.7265625" style="1" customWidth="1"/>
    <col min="2" max="2" width="70.453125" style="1" customWidth="1"/>
    <col min="3" max="9" width="40.7265625" style="1" customWidth="1"/>
    <col min="10" max="10" width="10.7265625" style="1" customWidth="1"/>
    <col min="11" max="16384" width="8.81640625" style="1"/>
  </cols>
  <sheetData>
    <row r="1" spans="1:12" ht="120" customHeight="1" x14ac:dyDescent="0.3"/>
    <row r="2" spans="1:12" ht="79.900000000000006" customHeight="1" x14ac:dyDescent="1.75">
      <c r="A2" s="40" t="s">
        <v>0</v>
      </c>
      <c r="B2" s="40"/>
      <c r="C2" s="40"/>
      <c r="D2" s="40"/>
      <c r="E2" s="40"/>
      <c r="F2" s="40"/>
      <c r="G2" s="40"/>
      <c r="H2" s="40"/>
      <c r="I2" s="40"/>
      <c r="J2" s="40"/>
    </row>
    <row r="3" spans="1:12" s="4" customFormat="1" ht="109.5" customHeight="1" x14ac:dyDescent="0.8">
      <c r="A3" s="41" t="s">
        <v>1</v>
      </c>
      <c r="B3" s="41"/>
      <c r="C3" s="41"/>
      <c r="D3" s="41"/>
      <c r="E3" s="41"/>
      <c r="F3" s="41"/>
      <c r="G3" s="41"/>
      <c r="H3" s="41"/>
      <c r="I3" s="41"/>
      <c r="J3" s="3"/>
      <c r="K3" s="3"/>
      <c r="L3" s="3"/>
    </row>
    <row r="4" spans="1:12" s="4" customFormat="1" ht="40.15" customHeight="1" x14ac:dyDescent="0.8">
      <c r="A4" s="41" t="s">
        <v>2</v>
      </c>
      <c r="B4" s="41"/>
      <c r="C4" s="41"/>
      <c r="D4" s="41"/>
      <c r="E4" s="41"/>
      <c r="F4" s="41"/>
      <c r="G4" s="41"/>
      <c r="H4" s="41"/>
      <c r="I4" s="41"/>
      <c r="J4" s="3"/>
      <c r="K4" s="3"/>
      <c r="L4" s="3"/>
    </row>
    <row r="5" spans="1:12" s="4" customFormat="1" ht="49.9" customHeight="1" x14ac:dyDescent="0.8">
      <c r="A5" s="34"/>
      <c r="B5" s="34"/>
      <c r="C5" s="34"/>
      <c r="D5" s="34"/>
      <c r="E5" s="34"/>
      <c r="F5" s="34"/>
      <c r="G5" s="34"/>
      <c r="H5" s="34"/>
      <c r="I5" s="34"/>
      <c r="J5" s="3"/>
      <c r="K5" s="3"/>
      <c r="L5" s="3"/>
    </row>
    <row r="6" spans="1:12" s="4" customFormat="1" ht="49.9" customHeight="1" x14ac:dyDescent="0.8">
      <c r="A6" s="34"/>
      <c r="B6" s="34"/>
      <c r="C6" s="34"/>
      <c r="D6" s="34"/>
      <c r="E6" s="34"/>
      <c r="F6" s="34"/>
      <c r="G6" s="34"/>
      <c r="H6" s="34"/>
      <c r="I6" s="34"/>
      <c r="J6" s="3"/>
      <c r="K6" s="3"/>
      <c r="L6" s="3"/>
    </row>
    <row r="7" spans="1:12" s="4" customFormat="1" ht="79.900000000000006" customHeight="1" thickBot="1" x14ac:dyDescent="1.25">
      <c r="A7" s="5" t="s">
        <v>3</v>
      </c>
      <c r="B7" s="5"/>
      <c r="C7" s="5"/>
      <c r="D7" s="19"/>
      <c r="E7" s="19"/>
      <c r="F7" s="21" t="s">
        <v>4</v>
      </c>
      <c r="G7" s="19"/>
      <c r="H7" s="19"/>
      <c r="I7" s="10"/>
    </row>
    <row r="8" spans="1:12" s="4" customFormat="1" ht="49.9" customHeight="1" x14ac:dyDescent="0.8">
      <c r="A8" s="5"/>
      <c r="B8" s="5"/>
      <c r="D8" s="39" t="s">
        <v>5</v>
      </c>
      <c r="E8" s="39"/>
      <c r="F8" s="39"/>
      <c r="G8" s="39"/>
      <c r="H8" s="39"/>
      <c r="I8" s="39"/>
    </row>
    <row r="9" spans="1:12" s="4" customFormat="1" ht="49.9" customHeight="1" x14ac:dyDescent="0.8">
      <c r="A9" s="5"/>
      <c r="B9" s="5"/>
      <c r="C9" s="5"/>
      <c r="D9" s="5"/>
      <c r="E9" s="5"/>
      <c r="F9" s="5"/>
      <c r="G9" s="5"/>
      <c r="H9" s="5"/>
    </row>
    <row r="10" spans="1:12" s="4" customFormat="1" ht="79.900000000000006" customHeight="1" thickBot="1" x14ac:dyDescent="1.25">
      <c r="A10" s="42" t="s">
        <v>6</v>
      </c>
      <c r="B10" s="42"/>
      <c r="C10" s="42"/>
      <c r="D10" s="19"/>
      <c r="E10" s="19"/>
      <c r="F10" s="21" t="str" cm="1">
        <f t="array" aca="1" ref="F10" ca="1">MID(CELL("filename",A1),FIND("]",CELL("filename",A1))+1,256)</f>
        <v>Sagar Saroy</v>
      </c>
      <c r="G10" s="21"/>
      <c r="H10" s="19"/>
      <c r="I10" s="10"/>
    </row>
    <row r="11" spans="1:12" s="4" customFormat="1" ht="49.9" customHeight="1" x14ac:dyDescent="0.8">
      <c r="A11" s="5"/>
      <c r="B11" s="5"/>
      <c r="C11" s="5"/>
      <c r="D11" s="39" t="s">
        <v>7</v>
      </c>
      <c r="E11" s="39"/>
      <c r="F11" s="39"/>
      <c r="G11" s="39"/>
      <c r="H11" s="39"/>
      <c r="I11" s="39"/>
    </row>
    <row r="12" spans="1:12" s="4" customFormat="1" ht="49.9" customHeight="1" x14ac:dyDescent="0.8">
      <c r="A12" s="5"/>
      <c r="B12" s="5"/>
      <c r="C12" s="5"/>
      <c r="D12" s="5"/>
      <c r="E12" s="5"/>
      <c r="F12" s="5"/>
      <c r="G12" s="5"/>
      <c r="H12" s="5"/>
    </row>
    <row r="13" spans="1:12" s="4" customFormat="1" ht="79.900000000000006" customHeight="1" thickBot="1" x14ac:dyDescent="1.25">
      <c r="A13" s="5" t="s">
        <v>8</v>
      </c>
      <c r="B13" s="5"/>
      <c r="C13" s="5"/>
      <c r="D13" s="31"/>
      <c r="E13" s="31"/>
      <c r="F13" s="35" t="s">
        <v>28</v>
      </c>
      <c r="G13" s="35"/>
      <c r="H13" s="31"/>
      <c r="I13" s="32"/>
    </row>
    <row r="14" spans="1:12" s="4" customFormat="1" ht="49.9" customHeight="1" x14ac:dyDescent="0.8">
      <c r="A14" s="5"/>
      <c r="B14" s="5"/>
      <c r="C14" s="5"/>
      <c r="D14" s="3" t="s">
        <v>27</v>
      </c>
      <c r="E14" s="3"/>
      <c r="F14" s="3"/>
      <c r="G14" s="3"/>
      <c r="H14" s="3"/>
      <c r="I14" s="3"/>
    </row>
    <row r="15" spans="1:12" s="4" customFormat="1" ht="49.9" customHeight="1" x14ac:dyDescent="0.8">
      <c r="A15" s="5"/>
      <c r="B15" s="5"/>
      <c r="C15" s="5"/>
      <c r="D15" s="5"/>
      <c r="E15" s="5"/>
      <c r="F15" s="5"/>
      <c r="G15" s="5"/>
      <c r="H15" s="5"/>
    </row>
    <row r="16" spans="1:12" s="4" customFormat="1" ht="79.900000000000006" customHeight="1" thickBot="1" x14ac:dyDescent="0.85">
      <c r="A16" s="5" t="s">
        <v>9</v>
      </c>
      <c r="B16" s="5"/>
      <c r="C16" s="5"/>
      <c r="D16" s="19"/>
      <c r="E16" s="19"/>
      <c r="F16" s="19">
        <v>2554</v>
      </c>
      <c r="G16" s="19"/>
      <c r="H16" s="19"/>
      <c r="I16" s="10"/>
    </row>
    <row r="17" spans="1:17" s="4" customFormat="1" ht="49.9" customHeight="1" x14ac:dyDescent="0.8">
      <c r="A17" s="5"/>
      <c r="B17" s="5"/>
      <c r="C17" s="5"/>
      <c r="D17" s="36" t="s">
        <v>26</v>
      </c>
      <c r="E17" s="36"/>
      <c r="F17" s="36"/>
      <c r="G17" s="36"/>
      <c r="H17" s="36"/>
      <c r="I17" s="36"/>
    </row>
    <row r="18" spans="1:17" s="4" customFormat="1" ht="49.9" customHeight="1" x14ac:dyDescent="0.8">
      <c r="A18" s="5"/>
      <c r="B18" s="5"/>
      <c r="C18" s="5"/>
      <c r="D18" s="5"/>
      <c r="E18" s="5"/>
      <c r="F18" s="5"/>
      <c r="G18" s="5"/>
      <c r="H18" s="5"/>
    </row>
    <row r="19" spans="1:17" s="4" customFormat="1" ht="79.900000000000006" customHeight="1" thickBot="1" x14ac:dyDescent="1.25">
      <c r="A19" s="5" t="s">
        <v>10</v>
      </c>
      <c r="B19" s="5"/>
      <c r="C19" s="5"/>
      <c r="D19" s="19"/>
      <c r="E19" s="19"/>
      <c r="F19" s="21" t="s">
        <v>25</v>
      </c>
      <c r="G19" s="19"/>
      <c r="H19" s="19"/>
      <c r="I19" s="10"/>
    </row>
    <row r="20" spans="1:17" s="4" customFormat="1" ht="49.9" customHeight="1" x14ac:dyDescent="0.8">
      <c r="A20" s="5"/>
      <c r="B20" s="5"/>
      <c r="C20" s="5"/>
      <c r="D20" s="39" t="s">
        <v>7</v>
      </c>
      <c r="E20" s="39"/>
      <c r="F20" s="39"/>
      <c r="G20" s="39"/>
      <c r="H20" s="39"/>
      <c r="I20" s="39"/>
    </row>
    <row r="21" spans="1:17" s="4" customFormat="1" ht="49.9" customHeight="1" thickBot="1" x14ac:dyDescent="0.85">
      <c r="A21" s="5"/>
      <c r="B21" s="5"/>
      <c r="C21" s="5"/>
      <c r="D21" s="5"/>
      <c r="E21" s="5"/>
      <c r="F21" s="5"/>
      <c r="G21" s="5"/>
      <c r="H21" s="5"/>
    </row>
    <row r="22" spans="1:17" s="4" customFormat="1" ht="49.9" customHeight="1" thickBot="1" x14ac:dyDescent="0.85">
      <c r="A22" s="11"/>
      <c r="B22" s="12"/>
      <c r="C22" s="12"/>
      <c r="D22" s="12"/>
      <c r="E22" s="12"/>
      <c r="F22" s="12"/>
      <c r="G22" s="12"/>
      <c r="H22" s="12"/>
      <c r="I22" s="13"/>
      <c r="J22" s="14"/>
    </row>
    <row r="23" spans="1:17" s="4" customFormat="1" ht="58.5" customHeight="1" thickTop="1" x14ac:dyDescent="0.8">
      <c r="A23" s="15"/>
      <c r="C23" s="28"/>
      <c r="D23" s="37" t="s">
        <v>11</v>
      </c>
      <c r="E23" s="27" t="s">
        <v>12</v>
      </c>
      <c r="F23" s="28" t="s">
        <v>13</v>
      </c>
      <c r="G23" s="28" t="s">
        <v>14</v>
      </c>
      <c r="H23" s="28" t="s">
        <v>15</v>
      </c>
      <c r="I23" s="28" t="s">
        <v>16</v>
      </c>
      <c r="J23" s="16"/>
    </row>
    <row r="24" spans="1:17" s="4" customFormat="1" ht="69.75" customHeight="1" thickBot="1" x14ac:dyDescent="0.85">
      <c r="A24" s="15"/>
      <c r="C24" s="29"/>
      <c r="D24" s="38">
        <v>46132</v>
      </c>
      <c r="E24" s="30">
        <f>D24+1</f>
        <v>46133</v>
      </c>
      <c r="F24" s="30">
        <f>E24+1</f>
        <v>46134</v>
      </c>
      <c r="G24" s="30">
        <f>F24+1</f>
        <v>46135</v>
      </c>
      <c r="H24" s="30">
        <f>G24+1</f>
        <v>46136</v>
      </c>
      <c r="I24" s="30">
        <f>H24+1</f>
        <v>46137</v>
      </c>
      <c r="J24" s="16"/>
    </row>
    <row r="25" spans="1:17" s="4" customFormat="1" ht="79.900000000000006" customHeight="1" thickTop="1" x14ac:dyDescent="0.8">
      <c r="A25" s="15"/>
      <c r="B25" s="5" t="s">
        <v>17</v>
      </c>
      <c r="C25" s="6"/>
      <c r="D25" s="22">
        <v>0.30208333333333331</v>
      </c>
      <c r="E25" s="22">
        <v>0.27083333333333331</v>
      </c>
      <c r="F25" s="22">
        <v>0.27083333333333331</v>
      </c>
      <c r="G25" s="22"/>
      <c r="H25" s="22">
        <v>0.27083333333333331</v>
      </c>
      <c r="I25" s="22"/>
      <c r="J25" s="16"/>
    </row>
    <row r="26" spans="1:17" s="4" customFormat="1" ht="79.900000000000006" customHeight="1" x14ac:dyDescent="0.8">
      <c r="A26" s="17"/>
      <c r="B26" s="5" t="s">
        <v>18</v>
      </c>
      <c r="C26" s="7"/>
      <c r="D26" s="24">
        <f t="shared" ref="D26:H26" si="0">IF((D29&gt;TIME(4,0,0)),TIME(0,30,0),0)</f>
        <v>2.0833333333333332E-2</v>
      </c>
      <c r="E26" s="24">
        <f t="shared" si="0"/>
        <v>2.0833333333333332E-2</v>
      </c>
      <c r="F26" s="24">
        <f t="shared" si="0"/>
        <v>2.0833333333333332E-2</v>
      </c>
      <c r="G26" s="24">
        <f t="shared" ref="G26:I26" si="1">IF((G29&gt;TIME(4,0,0)),TIME(0,30,0),0)</f>
        <v>0</v>
      </c>
      <c r="H26" s="24">
        <f t="shared" si="0"/>
        <v>2.0833333333333332E-2</v>
      </c>
      <c r="I26" s="24">
        <f t="shared" si="1"/>
        <v>0</v>
      </c>
      <c r="J26" s="16"/>
    </row>
    <row r="27" spans="1:17" s="4" customFormat="1" ht="79.900000000000006" customHeight="1" thickBot="1" x14ac:dyDescent="0.85">
      <c r="A27" s="15"/>
      <c r="B27" s="5" t="s">
        <v>19</v>
      </c>
      <c r="C27" s="8"/>
      <c r="D27" s="22">
        <v>0.625</v>
      </c>
      <c r="E27" s="22">
        <v>0.625</v>
      </c>
      <c r="F27" s="22">
        <v>0.625</v>
      </c>
      <c r="G27" s="22"/>
      <c r="H27" s="22">
        <v>0.625</v>
      </c>
      <c r="I27" s="22"/>
      <c r="J27" s="16"/>
    </row>
    <row r="28" spans="1:17" s="4" customFormat="1" ht="79.900000000000006" customHeight="1" thickTop="1" thickBot="1" x14ac:dyDescent="0.85">
      <c r="A28" s="15"/>
      <c r="B28" s="5" t="s">
        <v>20</v>
      </c>
      <c r="C28" s="9"/>
      <c r="D28" s="23">
        <f t="shared" ref="D28:I28" si="2">(D27-D25+ (D27&lt;D25))-D26</f>
        <v>0.30208333333333337</v>
      </c>
      <c r="E28" s="23">
        <f t="shared" si="2"/>
        <v>0.33333333333333337</v>
      </c>
      <c r="F28" s="23">
        <f t="shared" si="2"/>
        <v>0.33333333333333337</v>
      </c>
      <c r="G28" s="23">
        <f t="shared" si="2"/>
        <v>0</v>
      </c>
      <c r="H28" s="23">
        <f t="shared" si="2"/>
        <v>0.33333333333333337</v>
      </c>
      <c r="I28" s="23">
        <f t="shared" si="2"/>
        <v>0</v>
      </c>
      <c r="J28" s="16"/>
    </row>
    <row r="29" spans="1:17" s="4" customFormat="1" ht="49.9" customHeight="1" thickTop="1" thickBot="1" x14ac:dyDescent="0.85">
      <c r="A29" s="15"/>
      <c r="D29" s="33">
        <f>(D27-D25+ (D27&lt;D25))</f>
        <v>0.32291666666666669</v>
      </c>
      <c r="E29" s="33">
        <f>(E27-E25+ (E27&lt;E25))</f>
        <v>0.35416666666666669</v>
      </c>
      <c r="F29" s="33">
        <f t="shared" ref="F29:I29" si="3">(F27-F25+ (F27&lt;F25))</f>
        <v>0.35416666666666669</v>
      </c>
      <c r="G29" s="33">
        <f>(G27-G25+ (G27&lt;G25))</f>
        <v>0</v>
      </c>
      <c r="H29" s="33">
        <f t="shared" si="3"/>
        <v>0.35416666666666669</v>
      </c>
      <c r="I29" s="33">
        <f t="shared" si="3"/>
        <v>0</v>
      </c>
      <c r="J29" s="16"/>
    </row>
    <row r="30" spans="1:17" s="4" customFormat="1" ht="79.900000000000006" customHeight="1" thickBot="1" x14ac:dyDescent="0.85">
      <c r="A30" s="15"/>
      <c r="B30" s="5" t="s">
        <v>21</v>
      </c>
      <c r="C30" s="5"/>
      <c r="D30" s="26">
        <f>SUM(D28:I28)</f>
        <v>1.3020833333333335</v>
      </c>
      <c r="J30" s="16"/>
    </row>
    <row r="31" spans="1:17" s="4" customFormat="1" ht="49.9" customHeight="1" thickBot="1" x14ac:dyDescent="0.85">
      <c r="A31" s="18"/>
      <c r="B31" s="19"/>
      <c r="C31" s="19"/>
      <c r="D31" s="10"/>
      <c r="E31" s="10"/>
      <c r="F31" s="10"/>
      <c r="G31" s="10"/>
      <c r="H31" s="10"/>
      <c r="I31" s="10"/>
      <c r="J31" s="20"/>
      <c r="Q31" s="25"/>
    </row>
    <row r="32" spans="1:17" s="4" customFormat="1" ht="49.9" customHeight="1" x14ac:dyDescent="0.8">
      <c r="A32" s="5"/>
      <c r="B32" s="5"/>
      <c r="C32" s="5"/>
    </row>
    <row r="33" spans="1:9" s="4" customFormat="1" ht="49.9" customHeight="1" x14ac:dyDescent="0.75"/>
    <row r="34" spans="1:9" s="4" customFormat="1" ht="79.900000000000006" customHeight="1" thickBot="1" x14ac:dyDescent="0.85">
      <c r="A34" s="5" t="s">
        <v>22</v>
      </c>
      <c r="D34" s="10"/>
      <c r="E34" s="10"/>
      <c r="F34" s="10"/>
      <c r="G34" s="10"/>
      <c r="H34" s="10"/>
      <c r="I34" s="10"/>
    </row>
    <row r="35" spans="1:9" s="4" customFormat="1" ht="49.9" customHeight="1" x14ac:dyDescent="0.8">
      <c r="A35" s="5"/>
      <c r="F35" s="4" t="s">
        <v>24</v>
      </c>
    </row>
    <row r="36" spans="1:9" s="4" customFormat="1" ht="49.9" customHeight="1" x14ac:dyDescent="0.8">
      <c r="A36" s="5"/>
    </row>
    <row r="37" spans="1:9" s="4" customFormat="1" ht="79.900000000000006" customHeight="1" thickBot="1" x14ac:dyDescent="0.85">
      <c r="A37" s="5" t="s">
        <v>23</v>
      </c>
      <c r="D37" s="10"/>
      <c r="E37" s="10"/>
      <c r="F37" s="10"/>
      <c r="G37" s="10"/>
      <c r="H37" s="10"/>
      <c r="I37" s="10"/>
    </row>
    <row r="38" spans="1:9" s="4" customFormat="1" ht="49.9" customHeight="1" x14ac:dyDescent="0.75"/>
    <row r="39" spans="1:9" ht="49.9" customHeight="1" x14ac:dyDescent="0.7">
      <c r="A39" s="2"/>
      <c r="B39" s="2"/>
      <c r="C39" s="2"/>
      <c r="D39" s="2"/>
      <c r="E39" s="2"/>
      <c r="F39" s="2"/>
      <c r="G39" s="2"/>
      <c r="H39" s="2"/>
      <c r="I39" s="2"/>
    </row>
    <row r="40" spans="1:9" ht="49.9" customHeight="1" x14ac:dyDescent="0.7">
      <c r="A40" s="2"/>
      <c r="B40" s="2"/>
      <c r="C40" s="2"/>
      <c r="D40" s="2"/>
      <c r="E40" s="2"/>
      <c r="F40" s="2"/>
      <c r="G40" s="2"/>
      <c r="H40" s="2"/>
      <c r="I40" s="2"/>
    </row>
  </sheetData>
  <mergeCells count="7">
    <mergeCell ref="D20:I20"/>
    <mergeCell ref="A2:J2"/>
    <mergeCell ref="A3:I3"/>
    <mergeCell ref="A4:I4"/>
    <mergeCell ref="D8:I8"/>
    <mergeCell ref="A10:C10"/>
    <mergeCell ref="D11:I11"/>
  </mergeCells>
  <pageMargins left="0.23622047244094491" right="0.23622047244094491" top="0.74803149606299213" bottom="0.74803149606299213" header="0.31496062992125984" footer="0.31496062992125984"/>
  <pageSetup scale="27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B37C05083DC04A90FE1FE155BBE9D9" ma:contentTypeVersion="14" ma:contentTypeDescription="Create a new document." ma:contentTypeScope="" ma:versionID="42b1c1feded2dc613e1ccc66a7b3e66e">
  <xsd:schema xmlns:xsd="http://www.w3.org/2001/XMLSchema" xmlns:xs="http://www.w3.org/2001/XMLSchema" xmlns:p="http://schemas.microsoft.com/office/2006/metadata/properties" xmlns:ns2="09bd20d0-076d-4eb1-80ff-8fc660d07921" xmlns:ns3="f2945e06-ebce-45af-bf33-fb3fb03e1d83" targetNamespace="http://schemas.microsoft.com/office/2006/metadata/properties" ma:root="true" ma:fieldsID="25a0d35976eabce58f557e737df48042" ns2:_="" ns3:_="">
    <xsd:import namespace="09bd20d0-076d-4eb1-80ff-8fc660d07921"/>
    <xsd:import namespace="f2945e06-ebce-45af-bf33-fb3fb03e1d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d20d0-076d-4eb1-80ff-8fc660d0792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40a93545-afec-4950-b2b5-b943e170464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945e06-ebce-45af-bf33-fb3fb03e1d83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b8fee1a-8850-48d9-87b0-eb382c6e0a51}" ma:internalName="TaxCatchAll" ma:showField="CatchAllData" ma:web="f2945e06-ebce-45af-bf33-fb3fb03e1d8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2945e06-ebce-45af-bf33-fb3fb03e1d83" xsi:nil="true"/>
    <lcf76f155ced4ddcb4097134ff3c332f xmlns="09bd20d0-076d-4eb1-80ff-8fc660d07921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A41F93-5035-4C0F-B2C6-42A9E988AF37}"/>
</file>

<file path=customXml/itemProps2.xml><?xml version="1.0" encoding="utf-8"?>
<ds:datastoreItem xmlns:ds="http://schemas.openxmlformats.org/officeDocument/2006/customXml" ds:itemID="{3B66C612-08DF-4331-BAF7-CFC4237F5E4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CA45F8E-6782-497A-B46C-0D0A3ECE75AB}">
  <ds:schemaRefs>
    <ds:schemaRef ds:uri="http://schemas.microsoft.com/office/2006/metadata/properties"/>
    <ds:schemaRef ds:uri="http://schemas.microsoft.com/office/infopath/2007/PartnerControls"/>
    <ds:schemaRef ds:uri="f2945e06-ebce-45af-bf33-fb3fb03e1d83"/>
    <ds:schemaRef ds:uri="09bd20d0-076d-4eb1-80ff-8fc660d07921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Arshdeep Mahay</vt:lpstr>
      <vt:lpstr>Bhupinder Man</vt:lpstr>
      <vt:lpstr>Sidhartha Sharma</vt:lpstr>
      <vt:lpstr>Hasan Khan</vt:lpstr>
      <vt:lpstr>Jaspreet Singh</vt:lpstr>
      <vt:lpstr>Arshpreet Singh</vt:lpstr>
      <vt:lpstr>Gurdev Singh</vt:lpstr>
      <vt:lpstr>Sagar Saroy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Brandon Hart</dc:creator>
  <cp:keywords/>
  <dc:description/>
  <cp:lastModifiedBy>Kirandeep Kaur</cp:lastModifiedBy>
  <cp:revision/>
  <cp:lastPrinted>2026-04-27T13:17:31Z</cp:lastPrinted>
  <dcterms:created xsi:type="dcterms:W3CDTF">2013-01-02T14:13:28Z</dcterms:created>
  <dcterms:modified xsi:type="dcterms:W3CDTF">2026-04-27T13:17:32Z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0x0101006BB37C05083DC04A90FE1FE155BBE9D9</vt:lpwstr>
  </property>
  <property fmtid="{D5CDD505-2E9C-101B-9397-08002B2CF9AE}" pid="3" name="MediaServiceImageTags">
    <vt:lpwstr/>
  </property>
</Properties>
</file>